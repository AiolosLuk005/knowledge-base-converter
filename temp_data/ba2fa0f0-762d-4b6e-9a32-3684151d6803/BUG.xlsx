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olos Luk\Desktop\"/>
    </mc:Choice>
  </mc:AlternateContent>
  <xr:revisionPtr revIDLastSave="0" documentId="13_ncr:1_{26A88AD0-15D2-41BA-879F-E32A7821FE73}" xr6:coauthVersionLast="47" xr6:coauthVersionMax="47" xr10:uidLastSave="{00000000-0000-0000-0000-000000000000}"/>
  <bookViews>
    <workbookView xWindow="-110" yWindow="-110" windowWidth="25820" windowHeight="15500" xr2:uid="{AF8D1C49-CD77-4EC3-B9A1-FEF7E85FA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18" i="1"/>
  <c r="C17" i="1"/>
  <c r="C15" i="1"/>
  <c r="C13" i="1"/>
  <c r="C12" i="1"/>
  <c r="C11" i="1"/>
  <c r="C10" i="1"/>
  <c r="A21" i="1"/>
  <c r="C21" i="1" s="1"/>
  <c r="A19" i="1"/>
  <c r="C19" i="1" s="1"/>
  <c r="A22" i="1"/>
  <c r="C22" i="1" s="1"/>
  <c r="A20" i="1"/>
  <c r="C20" i="1"/>
  <c r="A16" i="1"/>
  <c r="C16" i="1"/>
  <c r="C14" i="1"/>
  <c r="C9" i="1"/>
  <c r="C6" i="1"/>
  <c r="C8" i="1"/>
  <c r="C4" i="1"/>
  <c r="C5" i="1"/>
  <c r="C3" i="1"/>
  <c r="C7" i="1"/>
</calcChain>
</file>

<file path=xl/sharedStrings.xml><?xml version="1.0" encoding="utf-8"?>
<sst xmlns="http://schemas.openxmlformats.org/spreadsheetml/2006/main" count="92" uniqueCount="40">
  <si>
    <t>A</t>
    <phoneticPr fontId="2" type="noConversion"/>
  </si>
  <si>
    <t>B</t>
    <phoneticPr fontId="2" type="noConversion"/>
  </si>
  <si>
    <t>C=A-B</t>
    <phoneticPr fontId="2" type="noConversion"/>
  </si>
  <si>
    <t>√</t>
    <phoneticPr fontId="2" type="noConversion"/>
  </si>
  <si>
    <t>×</t>
    <phoneticPr fontId="2" type="noConversion"/>
  </si>
  <si>
    <t>算式</t>
    <phoneticPr fontId="2" type="noConversion"/>
  </si>
  <si>
    <t>结果</t>
    <phoneticPr fontId="2" type="noConversion"/>
  </si>
  <si>
    <t>整数位(3位)</t>
    <phoneticPr fontId="2" type="noConversion"/>
  </si>
  <si>
    <t>错误结果1</t>
    <phoneticPr fontId="2" type="noConversion"/>
  </si>
  <si>
    <t>错误结果2</t>
    <phoneticPr fontId="2" type="noConversion"/>
  </si>
  <si>
    <t>错误结果3</t>
  </si>
  <si>
    <t>“1”开头的，整数位(6位)-整数位(6位)</t>
    <phoneticPr fontId="2" type="noConversion"/>
  </si>
  <si>
    <t>整数(无小数位)-整数(无小数位)</t>
    <phoneticPr fontId="2" type="noConversion"/>
  </si>
  <si>
    <t>整数(5位)(无小数位)-整数(5位)(有小数位)</t>
    <phoneticPr fontId="2" type="noConversion"/>
  </si>
  <si>
    <t>错误结果4</t>
    <phoneticPr fontId="2" type="noConversion"/>
  </si>
  <si>
    <t>负整数位(6位)-负整数位(6位)</t>
    <phoneticPr fontId="2" type="noConversion"/>
  </si>
  <si>
    <t>“1”开头的，整数位(5位)(有小数位)-整数位(5位)(有小数位)</t>
  </si>
  <si>
    <t>“1”开头的，整数位(5位)(有小数位)-整数位(5位)(有小数位)</t>
    <phoneticPr fontId="2" type="noConversion"/>
  </si>
  <si>
    <t>“2”开头的，整数位(5位)(有小数位)-整数位(5位)(有小数位)</t>
  </si>
  <si>
    <t>“3”开头的，整数位(5位)(有小数位)-整数位(5位)(有小数位)</t>
  </si>
  <si>
    <t>“4”开头的，整数位(5位)(有小数位)-整数位(5位)(有小数位)</t>
  </si>
  <si>
    <t>“5”开头的，整数位(5位)(有小数位)-整数位(5位)(有小数位)</t>
  </si>
  <si>
    <t>“6”开头的，整数位(5位)(有小数位)-整数位(5位)(有小数位)</t>
  </si>
  <si>
    <t>“7”开头的，整数位(5位)(有小数位)-整数位(5位)(有小数位)</t>
  </si>
  <si>
    <t>“8”开头的，整数位(5位)(有小数位)-整数位(5位)(有小数位)</t>
  </si>
  <si>
    <t>整数位(4位)(有小数位)-整数位(4位)(有小数位)</t>
  </si>
  <si>
    <t>整数位(4位)(有小数位)-整数位(4位)(有小数位)</t>
    <phoneticPr fontId="2" type="noConversion"/>
  </si>
  <si>
    <t>“9”开头的，整数位(5位)(有小数位)-整数位(5位)(有小数位)</t>
    <phoneticPr fontId="2" type="noConversion"/>
  </si>
  <si>
    <t>整数位(5位)(3个小数位)-整数位(5位)(3个小数位)</t>
    <phoneticPr fontId="2" type="noConversion"/>
  </si>
  <si>
    <t>备注</t>
    <phoneticPr fontId="2" type="noConversion"/>
  </si>
  <si>
    <t>结果判断</t>
    <phoneticPr fontId="2" type="noConversion"/>
  </si>
  <si>
    <t>整数位(4位)(有小数位)</t>
    <phoneticPr fontId="2" type="noConversion"/>
  </si>
  <si>
    <t>“1”开头的，整数位(6位)(有小数位)-整数位(6位)(有小数位)</t>
    <phoneticPr fontId="2" type="noConversion"/>
  </si>
  <si>
    <t>整数位(3位)(有小数位)</t>
  </si>
  <si>
    <t>整数位(3位)(有小数位)</t>
    <phoneticPr fontId="2" type="noConversion"/>
  </si>
  <si>
    <t>整数(5位)(有小数位)-整数(5位)(无小数位)</t>
    <phoneticPr fontId="2" type="noConversion"/>
  </si>
  <si>
    <t>C=A+B</t>
    <phoneticPr fontId="2" type="noConversion"/>
  </si>
  <si>
    <t>整数位(5位)(有小数位)</t>
    <phoneticPr fontId="2" type="noConversion"/>
  </si>
  <si>
    <t>整数位(5位)(有小数位)+整数位(5位)(有小数位)</t>
    <phoneticPr fontId="2" type="noConversion"/>
  </si>
  <si>
    <t>整数位(3位)(有小数位)+整数位(3位)(有小数位)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</si>
</sst>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0000000000_ "/>
  </numFmts>
  <fonts count="6" x14ac:knownFonts="1">
    <font>
      <sz val="10"/>
      <color theme="1"/>
      <name val="微软雅黑"/>
      <family val="2"/>
      <charset val="134"/>
    </font>
    <font>
      <sz val="10"/>
      <color theme="1"/>
      <name val="微软雅黑 Light"/>
      <family val="2"/>
      <charset val="134"/>
    </font>
    <font>
      <sz val="9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theme="9" tint="-0.249977111117893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6" borderId="1" xfId="0" applyNumberFormat="1" applyFont="1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>
      <alignment vertical="center"/>
    </xf>
    <xf numFmtId="176" fontId="5" fillId="0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E608-7EBF-4368-9AE3-3469558A3881}">
  <dimension ref="A2:G25"/>
  <sheetViews>
    <sheetView tabSelected="1" workbookViewId="0">
      <selection activeCell="A26" sqref="A26"/>
    </sheetView>
  </sheetViews>
  <sheetFormatPr defaultRowHeight="14.5" x14ac:dyDescent="0.4"/>
  <cols>
    <col min="1" max="2" width="36.6640625" bestFit="1" customWidth="1"/>
    <col min="3" max="3" width="39.08203125" bestFit="1" customWidth="1"/>
    <col min="4" max="4" width="49.9140625" style="11" customWidth="1"/>
    <col min="5" max="5" width="19.83203125" style="11" customWidth="1"/>
    <col min="6" max="6" width="11.6640625" style="11" customWidth="1"/>
    <col min="7" max="7" width="12.08203125" customWidth="1"/>
  </cols>
  <sheetData>
    <row r="2" spans="1:7" ht="26" customHeight="1" x14ac:dyDescent="0.4">
      <c r="A2" s="8" t="s">
        <v>0</v>
      </c>
      <c r="B2" s="8" t="s">
        <v>1</v>
      </c>
      <c r="C2" s="8" t="s">
        <v>2</v>
      </c>
      <c r="D2" s="11" t="s">
        <v>5</v>
      </c>
      <c r="E2" s="11" t="s">
        <v>6</v>
      </c>
      <c r="F2" s="11" t="s">
        <v>30</v>
      </c>
      <c r="G2" s="12" t="s">
        <v>29</v>
      </c>
    </row>
    <row r="3" spans="1:7" ht="22" customHeight="1" x14ac:dyDescent="0.4">
      <c r="A3" s="1">
        <v>3937.85</v>
      </c>
      <c r="B3" s="2">
        <v>2964.72</v>
      </c>
      <c r="C3" s="5">
        <f>A3-B3</f>
        <v>973.13000000000011</v>
      </c>
      <c r="D3" s="11" t="s">
        <v>25</v>
      </c>
      <c r="E3" s="11" t="s">
        <v>34</v>
      </c>
      <c r="F3" s="13" t="s">
        <v>3</v>
      </c>
    </row>
    <row r="4" spans="1:7" ht="22" customHeight="1" x14ac:dyDescent="0.4">
      <c r="A4" s="1">
        <v>8937.85</v>
      </c>
      <c r="B4" s="2">
        <v>7964.72</v>
      </c>
      <c r="C4" s="5">
        <f>A4-B4</f>
        <v>973.13000000000011</v>
      </c>
      <c r="D4" s="11" t="s">
        <v>26</v>
      </c>
      <c r="E4" s="11" t="s">
        <v>33</v>
      </c>
      <c r="F4" s="13" t="s">
        <v>3</v>
      </c>
    </row>
    <row r="5" spans="1:7" ht="22" customHeight="1" x14ac:dyDescent="0.4">
      <c r="A5" s="1">
        <v>13937.85</v>
      </c>
      <c r="B5" s="2">
        <v>12964.72</v>
      </c>
      <c r="C5" s="6">
        <f>A5-B5</f>
        <v>973.13000000000102</v>
      </c>
      <c r="D5" s="11" t="s">
        <v>17</v>
      </c>
      <c r="E5" s="11" t="s">
        <v>33</v>
      </c>
      <c r="F5" s="14" t="s">
        <v>4</v>
      </c>
      <c r="G5" s="12" t="s">
        <v>8</v>
      </c>
    </row>
    <row r="6" spans="1:7" ht="22" customHeight="1" x14ac:dyDescent="0.4">
      <c r="A6" s="1">
        <v>14937.85</v>
      </c>
      <c r="B6" s="2">
        <v>13964.72</v>
      </c>
      <c r="C6" s="6">
        <f>A6-B6</f>
        <v>973.13000000000102</v>
      </c>
      <c r="D6" s="11" t="s">
        <v>16</v>
      </c>
      <c r="E6" s="11" t="s">
        <v>33</v>
      </c>
      <c r="F6" s="14" t="s">
        <v>4</v>
      </c>
      <c r="G6" s="12" t="s">
        <v>8</v>
      </c>
    </row>
    <row r="7" spans="1:7" ht="22" customHeight="1" x14ac:dyDescent="0.4">
      <c r="A7" s="3">
        <v>23937.85</v>
      </c>
      <c r="B7" s="4">
        <v>22964.720000000001</v>
      </c>
      <c r="C7" s="7">
        <f>A7-B7</f>
        <v>973.12999999999738</v>
      </c>
      <c r="D7" s="11" t="s">
        <v>18</v>
      </c>
      <c r="E7" s="11" t="s">
        <v>33</v>
      </c>
      <c r="F7" s="14" t="s">
        <v>4</v>
      </c>
      <c r="G7" s="12" t="s">
        <v>9</v>
      </c>
    </row>
    <row r="8" spans="1:7" ht="22" customHeight="1" x14ac:dyDescent="0.4">
      <c r="A8" s="1">
        <v>28937.85</v>
      </c>
      <c r="B8" s="2">
        <v>27964.720000000001</v>
      </c>
      <c r="C8" s="6">
        <f>A8-B8</f>
        <v>973.12999999999738</v>
      </c>
      <c r="D8" s="11" t="s">
        <v>18</v>
      </c>
      <c r="E8" s="11" t="s">
        <v>33</v>
      </c>
      <c r="F8" s="14" t="s">
        <v>4</v>
      </c>
      <c r="G8" s="12" t="s">
        <v>9</v>
      </c>
    </row>
    <row r="9" spans="1:7" ht="22" customHeight="1" x14ac:dyDescent="0.4">
      <c r="A9" s="1">
        <v>38937.85</v>
      </c>
      <c r="B9" s="2">
        <v>37964.720000000001</v>
      </c>
      <c r="C9" s="6">
        <f>A9-B9</f>
        <v>973.12999999999738</v>
      </c>
      <c r="D9" s="11" t="s">
        <v>19</v>
      </c>
      <c r="E9" s="11" t="s">
        <v>33</v>
      </c>
      <c r="F9" s="14" t="s">
        <v>4</v>
      </c>
      <c r="G9" s="12" t="s">
        <v>9</v>
      </c>
    </row>
    <row r="10" spans="1:7" ht="22" customHeight="1" x14ac:dyDescent="0.4">
      <c r="A10" s="1">
        <v>48937.85</v>
      </c>
      <c r="B10" s="2">
        <v>47964.72</v>
      </c>
      <c r="C10" s="6">
        <f t="shared" ref="C10:C12" si="0">A10-B10</f>
        <v>973.12999999999738</v>
      </c>
      <c r="D10" s="11" t="s">
        <v>20</v>
      </c>
      <c r="E10" s="11" t="s">
        <v>33</v>
      </c>
      <c r="F10" s="14" t="s">
        <v>4</v>
      </c>
      <c r="G10" s="12" t="s">
        <v>9</v>
      </c>
    </row>
    <row r="11" spans="1:7" ht="22" customHeight="1" x14ac:dyDescent="0.4">
      <c r="A11" s="1">
        <v>58937.85</v>
      </c>
      <c r="B11" s="2">
        <v>57964.72</v>
      </c>
      <c r="C11" s="6">
        <f t="shared" si="0"/>
        <v>973.12999999999738</v>
      </c>
      <c r="D11" s="11" t="s">
        <v>21</v>
      </c>
      <c r="E11" s="11" t="s">
        <v>33</v>
      </c>
      <c r="F11" s="14" t="s">
        <v>4</v>
      </c>
      <c r="G11" s="12" t="s">
        <v>9</v>
      </c>
    </row>
    <row r="12" spans="1:7" ht="22" customHeight="1" x14ac:dyDescent="0.4">
      <c r="A12" s="1">
        <v>68937.850000000006</v>
      </c>
      <c r="B12" s="2">
        <v>67964.72</v>
      </c>
      <c r="C12" s="6">
        <f t="shared" si="0"/>
        <v>973.13000000000466</v>
      </c>
      <c r="D12" s="11" t="s">
        <v>22</v>
      </c>
      <c r="E12" s="11" t="s">
        <v>33</v>
      </c>
      <c r="F12" s="14" t="s">
        <v>4</v>
      </c>
      <c r="G12" s="12" t="s">
        <v>10</v>
      </c>
    </row>
    <row r="13" spans="1:7" ht="22" customHeight="1" x14ac:dyDescent="0.4">
      <c r="A13" s="1">
        <v>78937.850000000006</v>
      </c>
      <c r="B13" s="2">
        <v>77964.72</v>
      </c>
      <c r="C13" s="6">
        <f t="shared" ref="C13" si="1">A13-B13</f>
        <v>973.13000000000466</v>
      </c>
      <c r="D13" s="11" t="s">
        <v>23</v>
      </c>
      <c r="E13" s="11" t="s">
        <v>33</v>
      </c>
      <c r="F13" s="14" t="s">
        <v>4</v>
      </c>
      <c r="G13" s="12" t="s">
        <v>10</v>
      </c>
    </row>
    <row r="14" spans="1:7" ht="22" customHeight="1" x14ac:dyDescent="0.4">
      <c r="A14" s="1">
        <v>88937.85</v>
      </c>
      <c r="B14" s="2">
        <v>87964.72</v>
      </c>
      <c r="C14" s="6">
        <f>A14-B14</f>
        <v>973.13000000000466</v>
      </c>
      <c r="D14" s="11" t="s">
        <v>24</v>
      </c>
      <c r="E14" s="11" t="s">
        <v>33</v>
      </c>
      <c r="F14" s="14" t="s">
        <v>4</v>
      </c>
      <c r="G14" s="12" t="s">
        <v>10</v>
      </c>
    </row>
    <row r="15" spans="1:7" ht="22" customHeight="1" x14ac:dyDescent="0.4">
      <c r="A15" s="1">
        <v>98937.85</v>
      </c>
      <c r="B15" s="2">
        <v>97964.72</v>
      </c>
      <c r="C15" s="6">
        <f t="shared" ref="C15" si="2">A15-B15</f>
        <v>973.13000000000466</v>
      </c>
      <c r="D15" s="11" t="s">
        <v>27</v>
      </c>
      <c r="E15" s="11" t="s">
        <v>33</v>
      </c>
      <c r="F15" s="14" t="s">
        <v>4</v>
      </c>
      <c r="G15" s="12" t="s">
        <v>10</v>
      </c>
    </row>
    <row r="16" spans="1:7" ht="26" customHeight="1" x14ac:dyDescent="0.4">
      <c r="A16" s="1">
        <f>108937.85</f>
        <v>108937.85</v>
      </c>
      <c r="B16" s="2">
        <v>107964.72</v>
      </c>
      <c r="C16" s="6">
        <f>A16-B16</f>
        <v>973.13000000000466</v>
      </c>
      <c r="D16" s="11" t="s">
        <v>11</v>
      </c>
      <c r="E16" s="11" t="s">
        <v>33</v>
      </c>
      <c r="F16" s="14" t="s">
        <v>4</v>
      </c>
      <c r="G16" s="12" t="s">
        <v>10</v>
      </c>
    </row>
    <row r="17" spans="1:7" ht="26" customHeight="1" x14ac:dyDescent="0.4">
      <c r="A17" s="1">
        <v>-23937.85</v>
      </c>
      <c r="B17" s="2">
        <v>-22964.720000000001</v>
      </c>
      <c r="C17" s="6">
        <f>A17-B17</f>
        <v>-973.12999999999738</v>
      </c>
      <c r="D17" s="11" t="s">
        <v>15</v>
      </c>
      <c r="E17" s="11" t="s">
        <v>33</v>
      </c>
      <c r="F17" s="14" t="s">
        <v>4</v>
      </c>
      <c r="G17" s="12" t="s">
        <v>9</v>
      </c>
    </row>
    <row r="18" spans="1:7" ht="26" customHeight="1" x14ac:dyDescent="0.4">
      <c r="A18" s="1">
        <v>23937.856</v>
      </c>
      <c r="B18" s="2">
        <v>22964.726999999999</v>
      </c>
      <c r="C18" s="7">
        <f>A18-B18</f>
        <v>973.12900000000081</v>
      </c>
      <c r="D18" s="11" t="s">
        <v>28</v>
      </c>
      <c r="E18" s="11" t="s">
        <v>33</v>
      </c>
      <c r="F18" s="14" t="s">
        <v>4</v>
      </c>
      <c r="G18" s="12" t="s">
        <v>8</v>
      </c>
    </row>
    <row r="19" spans="1:7" ht="28.5" customHeight="1" x14ac:dyDescent="0.4">
      <c r="A19" s="1">
        <f>107957.85</f>
        <v>107957.85</v>
      </c>
      <c r="B19" s="2">
        <v>106954.72</v>
      </c>
      <c r="C19" s="5">
        <f>A19-B19</f>
        <v>1003.1300000000047</v>
      </c>
      <c r="D19" s="11" t="s">
        <v>32</v>
      </c>
      <c r="E19" s="11" t="s">
        <v>31</v>
      </c>
      <c r="F19" s="13" t="s">
        <v>3</v>
      </c>
      <c r="G19" s="12"/>
    </row>
    <row r="20" spans="1:7" ht="26.5" customHeight="1" x14ac:dyDescent="0.4">
      <c r="A20" s="1">
        <f>23937</f>
        <v>23937</v>
      </c>
      <c r="B20" s="2">
        <v>22964.720000000001</v>
      </c>
      <c r="C20" s="9">
        <f>A20-B20</f>
        <v>972.27999999999884</v>
      </c>
      <c r="D20" s="11" t="s">
        <v>13</v>
      </c>
      <c r="E20" s="11" t="s">
        <v>33</v>
      </c>
      <c r="F20" s="14" t="s">
        <v>4</v>
      </c>
      <c r="G20" s="12" t="s">
        <v>14</v>
      </c>
    </row>
    <row r="21" spans="1:7" ht="26.5" customHeight="1" x14ac:dyDescent="0.4">
      <c r="A21" s="1">
        <f>23937.85</f>
        <v>23937.85</v>
      </c>
      <c r="B21" s="2">
        <v>22964</v>
      </c>
      <c r="C21" s="6">
        <f>A21-B21</f>
        <v>973.84999999999854</v>
      </c>
      <c r="D21" s="11" t="s">
        <v>35</v>
      </c>
      <c r="E21" s="11" t="s">
        <v>34</v>
      </c>
      <c r="F21" s="14" t="s">
        <v>4</v>
      </c>
      <c r="G21" s="12" t="s">
        <v>14</v>
      </c>
    </row>
    <row r="22" spans="1:7" ht="29" customHeight="1" x14ac:dyDescent="0.4">
      <c r="A22" s="1">
        <f>23937</f>
        <v>23937</v>
      </c>
      <c r="B22" s="2">
        <v>22964</v>
      </c>
      <c r="C22" s="10">
        <f>A22-B22</f>
        <v>973</v>
      </c>
      <c r="D22" s="11" t="s">
        <v>12</v>
      </c>
      <c r="E22" s="11" t="s">
        <v>7</v>
      </c>
      <c r="F22" s="13" t="s">
        <v>3</v>
      </c>
    </row>
    <row r="23" spans="1:7" ht="29" customHeight="1" x14ac:dyDescent="0.4">
      <c r="A23" s="8" t="s">
        <v>0</v>
      </c>
      <c r="B23" s="8" t="s">
        <v>1</v>
      </c>
      <c r="C23" s="8" t="s">
        <v>36</v>
      </c>
      <c r="F23" s="13"/>
    </row>
    <row r="24" spans="1:7" ht="25.5" customHeight="1" x14ac:dyDescent="0.4">
      <c r="A24" s="1">
        <v>23937.85</v>
      </c>
      <c r="B24" s="2">
        <v>22964.720000000001</v>
      </c>
      <c r="C24" s="10">
        <f>A24+B24</f>
        <v>46902.57</v>
      </c>
      <c r="D24" s="11" t="s">
        <v>38</v>
      </c>
      <c r="E24" s="11" t="s">
        <v>37</v>
      </c>
      <c r="F24" s="13" t="s">
        <v>3</v>
      </c>
    </row>
    <row r="25" spans="1:7" ht="28.5" customHeight="1" x14ac:dyDescent="0.4">
      <c r="A25" s="1">
        <v>337.85</v>
      </c>
      <c r="B25" s="2">
        <v>264.72000000000003</v>
      </c>
      <c r="C25" s="10">
        <f>A25+B25</f>
        <v>602.57000000000005</v>
      </c>
      <c r="D25" s="11" t="s">
        <v>39</v>
      </c>
      <c r="E25" s="11" t="s">
        <v>34</v>
      </c>
      <c r="F25" s="13" t="s">
        <v>3</v>
      </c>
    </row>
  </sheetData>
  <sortState xmlns:xlrd2="http://schemas.microsoft.com/office/spreadsheetml/2017/richdata2" ref="A3:C14">
    <sortCondition ref="A3:A14"/>
  </sortState>
  <phoneticPr fontId="2" type="noConversion"/>
  <pageMargins left="0.7" right="0.7" top="0.75" bottom="0.75" header="0.3" footer="0.3"/>
  <pageSetup paperSize="9" orientation="portrait" r:id="rId1"/>
  <ignoredErrors>
    <ignoredError sqref="A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Aiolos Luk</dc:creator>
  <cp:lastModifiedBy>Aiolos Luk</cp:lastModifiedBy>
  <dcterms:created xsi:type="dcterms:W3CDTF">2025-12-28T17:06:28Z</dcterms:created>
  <dcterms:modified xsi:type="dcterms:W3CDTF">2025-12-28T17:46:50Z</dcterms:modified>
</cp:coreProperties>
</file>